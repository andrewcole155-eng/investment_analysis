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Dashboard" sheetId="1" state="visible" r:id="rId1"/>
    <sheet name="Loan Manager" sheetId="2" state="visible" r:id="rId2"/>
    <sheet name="Property Details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PORTFOLIO SUMMARY</t>
        </is>
      </c>
    </row>
    <row r="4">
      <c r="B4" t="inlineStr">
        <is>
          <t>Total Property Value</t>
        </is>
      </c>
      <c r="C4" s="2">
        <f>SUM('Property Details'!C4:C5)</f>
        <v/>
      </c>
      <c r="E4" t="inlineStr">
        <is>
          <t>Monthly Rental Income</t>
        </is>
      </c>
      <c r="F4" s="2">
        <f>'Cash Flow'!C4</f>
        <v/>
      </c>
    </row>
    <row r="5">
      <c r="B5" t="inlineStr">
        <is>
          <t>Total Debt Position</t>
        </is>
      </c>
      <c r="C5" s="2">
        <f>SUM('Loan Manager'!C4:C6)</f>
        <v/>
      </c>
      <c r="E5" t="inlineStr">
        <is>
          <t>Monthly Mortgage Cost</t>
        </is>
      </c>
      <c r="F5" s="2">
        <f>SUM('Loan Manager'!F4:F6)</f>
        <v/>
      </c>
    </row>
    <row r="6">
      <c r="B6" t="inlineStr">
        <is>
          <t>Net Equity</t>
        </is>
      </c>
      <c r="C6" s="2">
        <f>C4-C5</f>
        <v/>
      </c>
      <c r="E6" t="inlineStr">
        <is>
          <t>Monthly OpEx (Est.)</t>
        </is>
      </c>
      <c r="F6" s="2">
        <f>'Cash Flow'!C14</f>
        <v/>
      </c>
    </row>
    <row r="7">
      <c r="B7" t="inlineStr">
        <is>
          <t>Overall LVR</t>
        </is>
      </c>
      <c r="C7" s="3">
        <f>C5/C4</f>
        <v/>
      </c>
      <c r="E7" t="inlineStr">
        <is>
          <t>Net Monthly Cashflow</t>
        </is>
      </c>
      <c r="F7" s="2">
        <f>F4-(F5+F6)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Loan ID</t>
        </is>
      </c>
      <c r="B1" s="4" t="inlineStr">
        <is>
          <t>Purpose</t>
        </is>
      </c>
      <c r="C1" s="4" t="inlineStr">
        <is>
          <t>Loan Amount</t>
        </is>
      </c>
      <c r="D1" s="4" t="inlineStr">
        <is>
          <t>Interest Rate</t>
        </is>
      </c>
      <c r="E1" s="4" t="inlineStr">
        <is>
          <t>Type</t>
        </is>
      </c>
      <c r="F1" s="4" t="inlineStr">
        <is>
          <t>Monthly Pmt</t>
        </is>
      </c>
      <c r="G1" s="4" t="inlineStr">
        <is>
          <t>IO Expiry</t>
        </is>
      </c>
      <c r="H1" s="4" t="inlineStr">
        <is>
          <t>Lender</t>
        </is>
      </c>
    </row>
    <row r="2">
      <c r="A2" t="inlineStr">
        <is>
          <t>Loan 1.1</t>
        </is>
      </c>
      <c r="B2" t="inlineStr">
        <is>
          <t>Home Refinance (OO)</t>
        </is>
      </c>
      <c r="C2" s="2" t="n">
        <v>445826</v>
      </c>
      <c r="D2" s="3" t="n">
        <v>0.0525</v>
      </c>
      <c r="E2" t="inlineStr">
        <is>
          <t>P&amp;I</t>
        </is>
      </c>
      <c r="F2" s="2" t="n">
        <v>2461.87</v>
      </c>
      <c r="G2" t="inlineStr">
        <is>
          <t>N/A</t>
        </is>
      </c>
      <c r="H2" t="inlineStr">
        <is>
          <t>Mortgage Choice</t>
        </is>
      </c>
    </row>
    <row r="3">
      <c r="A3" t="inlineStr">
        <is>
          <t>Loan 1.2</t>
        </is>
      </c>
      <c r="B3" t="inlineStr">
        <is>
          <t>Inv Deposit (Cash Out)</t>
        </is>
      </c>
      <c r="C3" s="2" t="n">
        <v>170000</v>
      </c>
      <c r="D3" s="3" t="n">
        <v>0.0549</v>
      </c>
      <c r="E3" t="inlineStr">
        <is>
          <t>P&amp;I</t>
        </is>
      </c>
      <c r="F3" s="2" t="n">
        <v>964.17</v>
      </c>
      <c r="G3" t="inlineStr">
        <is>
          <t>N/A</t>
        </is>
      </c>
      <c r="H3" t="inlineStr">
        <is>
          <t>Mortgage Choice</t>
        </is>
      </c>
    </row>
    <row r="4">
      <c r="A4" t="inlineStr">
        <is>
          <t>Loan 2.1</t>
        </is>
      </c>
      <c r="B4" t="inlineStr">
        <is>
          <t>Investment Purchase</t>
        </is>
      </c>
      <c r="C4" s="2" t="n">
        <v>520000</v>
      </c>
      <c r="D4" s="3" t="n">
        <v>0.0564</v>
      </c>
      <c r="E4" t="inlineStr">
        <is>
          <t>IO (5yr)</t>
        </is>
      </c>
      <c r="F4" s="2" t="n">
        <v>2444</v>
      </c>
      <c r="G4" t="inlineStr">
        <is>
          <t>Jan-2031</t>
        </is>
      </c>
      <c r="H4" t="inlineStr">
        <is>
          <t>Mortgage Choice</t>
        </is>
      </c>
    </row>
    <row r="5">
      <c r="C5" s="2" t="n"/>
      <c r="D5" s="3" t="n"/>
      <c r="F5" s="2" t="n"/>
    </row>
    <row r="6">
      <c r="B6" s="5" t="inlineStr">
        <is>
          <t>TOTALS</t>
        </is>
      </c>
      <c r="C6" s="2">
        <f>SUM(C2:C5)</f>
        <v/>
      </c>
      <c r="F6" s="2">
        <f>SUM(F2:F5)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Property</t>
        </is>
      </c>
      <c r="B1" s="6" t="inlineStr">
        <is>
          <t>Purchase Price</t>
        </is>
      </c>
      <c r="C1" s="6" t="inlineStr">
        <is>
          <t>Current Value</t>
        </is>
      </c>
      <c r="D1" s="6" t="inlineStr">
        <is>
          <t>Purchase Date</t>
        </is>
      </c>
      <c r="E1" s="6" t="inlineStr">
        <is>
          <t>Stamp Duty</t>
        </is>
      </c>
    </row>
    <row r="2">
      <c r="A2" t="inlineStr">
        <is>
          <t>Home (Owner Occ)</t>
        </is>
      </c>
      <c r="B2" s="2" t="n">
        <v>1200000</v>
      </c>
      <c r="C2" s="2" t="n">
        <v>1200000</v>
      </c>
      <c r="D2" t="inlineStr">
        <is>
          <t>Existing</t>
        </is>
      </c>
      <c r="E2" s="2" t="n">
        <v>0</v>
      </c>
    </row>
    <row r="3">
      <c r="A3" t="inlineStr">
        <is>
          <t>Investment 1</t>
        </is>
      </c>
      <c r="B3" s="2" t="n">
        <v>650000</v>
      </c>
      <c r="C3" s="2" t="n">
        <v>650000</v>
      </c>
      <c r="D3" t="inlineStr">
        <is>
          <t>Jan-2026</t>
        </is>
      </c>
      <c r="E3" s="2" t="n">
        <v>34070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2">
      <c r="B2" s="5" t="inlineStr">
        <is>
          <t>INCOME</t>
        </is>
      </c>
    </row>
    <row r="3">
      <c r="B3" t="inlineStr">
        <is>
          <t>Weekly Rent (Est.)</t>
        </is>
      </c>
      <c r="C3" t="n">
        <v>650</v>
      </c>
    </row>
    <row r="4">
      <c r="B4" t="inlineStr">
        <is>
          <t>Monthly Rent</t>
        </is>
      </c>
      <c r="C4">
        <f>(C3*52)/12</f>
        <v/>
      </c>
    </row>
    <row r="6">
      <c r="B6" s="5" t="inlineStr">
        <is>
          <t>EXPENSES (Monthly)</t>
        </is>
      </c>
    </row>
    <row r="7">
      <c r="B7" t="inlineStr">
        <is>
          <t>Council Rates</t>
        </is>
      </c>
      <c r="C7" t="n">
        <v>200</v>
      </c>
    </row>
    <row r="8">
      <c r="B8" t="inlineStr">
        <is>
          <t>Water Rates</t>
        </is>
      </c>
      <c r="C8" t="n">
        <v>100</v>
      </c>
    </row>
    <row r="9">
      <c r="B9" t="inlineStr">
        <is>
          <t>Body Corp</t>
        </is>
      </c>
      <c r="C9" t="n">
        <v>0</v>
      </c>
    </row>
    <row r="10">
      <c r="B10" t="inlineStr">
        <is>
          <t>Mgmt Fees (8%)</t>
        </is>
      </c>
      <c r="C10">
        <f>C4*0.08</f>
        <v/>
      </c>
    </row>
    <row r="11">
      <c r="B11" t="inlineStr">
        <is>
          <t>Insurance</t>
        </is>
      </c>
      <c r="C11" t="n">
        <v>150</v>
      </c>
    </row>
    <row r="12">
      <c r="B12" t="inlineStr">
        <is>
          <t>Maintenance</t>
        </is>
      </c>
      <c r="C12" t="n">
        <v>100</v>
      </c>
    </row>
    <row r="13">
      <c r="B13" t="inlineStr">
        <is>
          <t>TOTAL OPEX</t>
        </is>
      </c>
      <c r="C13">
        <f>SUM(C7:C12)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2026-01-23T09:43:38Z</dcterms:created>
  <dcterms:modified xsi:type="dcterms:W3CDTF">2026-01-23T09:43:38Z</dcterms:modified>
</cp:coreProperties>
</file>