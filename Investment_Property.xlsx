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F845179B-0A6F-421C-BC64-C101671A3F77}" xr6:coauthVersionLast="47" xr6:coauthVersionMax="47" xr10:uidLastSave="{00000000-0000-0000-0000-000000000000}"/>
  <bookViews>
    <workbookView xWindow="28680" yWindow="1620" windowWidth="29040" windowHeight="15720" tabRatio="864" xr2:uid="{00000000-000D-0000-FFFF-FFFF00000000}"/>
  </bookViews>
  <sheets>
    <sheet name="Property Summary" sheetId="1" r:id="rId1"/>
    <sheet name="Income" sheetId="2" r:id="rId2"/>
    <sheet name="Operating Expenses" sheetId="3" r:id="rId3"/>
    <sheet name="Loan Details" sheetId="4" r:id="rId4"/>
    <sheet name="Cash Flow" sheetId="5" r:id="rId5"/>
    <sheet name="Acquisition Costs" sheetId="6" r:id="rId6"/>
    <sheet name="Depreciation" sheetId="7" r:id="rId7"/>
    <sheet name="Tax &amp; Negative Gearing" sheetId="8" r:id="rId8"/>
    <sheet name="10-Year Projection" sheetId="9" r:id="rId9"/>
    <sheet name="CGT Projectio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B6" i="10"/>
  <c r="B4" i="10"/>
  <c r="B11" i="9"/>
  <c r="B10" i="9"/>
  <c r="B9" i="9"/>
  <c r="B8" i="9"/>
  <c r="B7" i="9"/>
  <c r="B6" i="9"/>
  <c r="B5" i="9"/>
  <c r="B4" i="9"/>
  <c r="B3" i="9"/>
  <c r="C4" i="3"/>
  <c r="B4" i="4"/>
  <c r="B5" i="4" s="1"/>
  <c r="B6" i="4"/>
  <c r="B7" i="4" s="1"/>
  <c r="C7" i="3"/>
  <c r="C3" i="2"/>
  <c r="E3" i="2" s="1"/>
  <c r="C4" i="2"/>
  <c r="E4" i="2" s="1"/>
  <c r="C5" i="2"/>
  <c r="C6" i="2"/>
  <c r="C7" i="2"/>
  <c r="C8" i="2"/>
  <c r="C9" i="2"/>
  <c r="C10" i="2"/>
  <c r="C11" i="2"/>
  <c r="C12" i="2"/>
  <c r="C13" i="2"/>
  <c r="C2" i="2"/>
  <c r="C3" i="3"/>
  <c r="E2" i="2"/>
  <c r="E7" i="2"/>
  <c r="E6" i="2"/>
  <c r="E5" i="2"/>
  <c r="B2" i="10"/>
  <c r="B2" i="9"/>
  <c r="D6" i="7"/>
  <c r="D5" i="7"/>
  <c r="D4" i="7"/>
  <c r="D3" i="7"/>
  <c r="D2" i="7"/>
  <c r="B7" i="6"/>
  <c r="C8" i="3"/>
  <c r="C6" i="3"/>
  <c r="C5" i="3"/>
  <c r="C2" i="3"/>
  <c r="E13" i="2"/>
  <c r="E12" i="2"/>
  <c r="E11" i="2"/>
  <c r="E10" i="2"/>
  <c r="E9" i="2"/>
  <c r="E8" i="2"/>
  <c r="B4" i="5" l="1"/>
  <c r="B8" i="4"/>
  <c r="B1" i="10"/>
  <c r="B3" i="10" s="1"/>
  <c r="C9" i="3"/>
  <c r="D2" i="9" s="1"/>
  <c r="D3" i="9" s="1"/>
  <c r="D4" i="9" s="1"/>
  <c r="D5" i="9" s="1"/>
  <c r="D6" i="9" s="1"/>
  <c r="D7" i="9" s="1"/>
  <c r="D8" i="9" s="1"/>
  <c r="D9" i="9" s="1"/>
  <c r="D10" i="9" s="1"/>
  <c r="D11" i="9" s="1"/>
  <c r="E14" i="2"/>
  <c r="B1" i="5" s="1"/>
  <c r="B2" i="5" l="1"/>
  <c r="C2" i="9"/>
  <c r="C3" i="9" l="1"/>
  <c r="E2" i="9"/>
  <c r="B3" i="5"/>
  <c r="E3" i="9" l="1"/>
  <c r="C4" i="9"/>
  <c r="C5" i="9" s="1"/>
  <c r="C6" i="9" s="1"/>
  <c r="C7" i="9" s="1"/>
  <c r="C8" i="9" s="1"/>
  <c r="C9" i="9" s="1"/>
  <c r="C10" i="9" s="1"/>
  <c r="C11" i="9" s="1"/>
  <c r="B5" i="5"/>
  <c r="B13" i="1" s="1"/>
  <c r="B15" i="1" s="1"/>
  <c r="B1" i="8"/>
  <c r="B4" i="8" s="1"/>
  <c r="B6" i="8" s="1"/>
  <c r="B12" i="1"/>
  <c r="B14" i="1" s="1"/>
  <c r="E4" i="9"/>
  <c r="E5" i="9" l="1"/>
  <c r="E6" i="9" l="1"/>
  <c r="E7" i="9" l="1"/>
  <c r="E8" i="9" l="1"/>
  <c r="E9" i="9" l="1"/>
  <c r="E10" i="9" l="1"/>
  <c r="E11" i="9"/>
</calcChain>
</file>

<file path=xl/sharedStrings.xml><?xml version="1.0" encoding="utf-8"?>
<sst xmlns="http://schemas.openxmlformats.org/spreadsheetml/2006/main" count="97" uniqueCount="81">
  <si>
    <t>Property Name</t>
  </si>
  <si>
    <t>Purchase Price</t>
  </si>
  <si>
    <t>Purchase Date</t>
  </si>
  <si>
    <t>Loan Amount</t>
  </si>
  <si>
    <t>Interest Rate (%)</t>
  </si>
  <si>
    <t>Loan Term (years)</t>
  </si>
  <si>
    <t>Total Cash Invested (Deposit + Costs)</t>
  </si>
  <si>
    <t>Expected Annual Growth Rate (%)</t>
  </si>
  <si>
    <t>Expected Annual Rent Growth (%)</t>
  </si>
  <si>
    <t>Expected Annual Expense Growth (%)</t>
  </si>
  <si>
    <t>Annual Net Income</t>
  </si>
  <si>
    <t>Annual Cash Flow</t>
  </si>
  <si>
    <t>Net Rental Yield</t>
  </si>
  <si>
    <t>Cash on Cash Return</t>
  </si>
  <si>
    <t>Month</t>
  </si>
  <si>
    <t>Rent Received</t>
  </si>
  <si>
    <t>Other Income</t>
  </si>
  <si>
    <t>Total Income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</si>
  <si>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</si>
  <si>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</si>
  <si>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</si>
  <si>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</si>
  <si>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</si>
  <si>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</si>
  <si>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</si>
  <si>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</si>
  <si>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</si>
  <si>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</si>
  <si>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</si>
  <si>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</si>
  <si>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</si>
  <si>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Monthly</t>
  </si>
  <si>
    <t>Annual</t>
  </si>
  <si>
    <t>Property Management</t>
  </si>
  <si>
    <t>Council Rates</t>
  </si>
  <si>
    <t>Maintenance</t>
  </si>
  <si>
    <t>Other</t>
  </si>
  <si>
    <t>Total Expenses</t>
  </si>
  <si>
    <t>Annual Repayment</t>
  </si>
  <si>
    <t>Annual Rental Income</t>
  </si>
  <si>
    <t>Annual Operating Expenses</t>
  </si>
  <si>
    <t>Net Operating Income (NOI)</t>
  </si>
  <si>
    <t>Stamp Duty</t>
  </si>
  <si>
    <t>Legal Fees</t>
  </si>
  <si>
    <t>Building &amp; Pest Inspection</t>
  </si>
  <si>
    <t>Loan Setup Fees</t>
  </si>
  <si>
    <t>Buyers Agent</t>
  </si>
  <si>
    <t>Other Costs</t>
  </si>
  <si>
    <t>Total Acquisition Costs</t>
  </si>
  <si>
    <t>Year</t>
  </si>
  <si>
    <t>Building Depreciation</t>
  </si>
  <si>
    <t>Fixtures Depreciation</t>
  </si>
  <si>
    <t>Total Depreciation</t>
  </si>
  <si>
    <t>Net Operating Income</t>
  </si>
  <si>
    <t>Interest Portion (Est.)</t>
  </si>
  <si>
    <t>Other Deductions (Depreciation etc.)</t>
  </si>
  <si>
    <t>Taxable Income/Loss</t>
  </si>
  <si>
    <t>Marginal Tax Rate (%)</t>
  </si>
  <si>
    <t>Tax Impact (+refund/-payable)</t>
  </si>
  <si>
    <t>Property Value</t>
  </si>
  <si>
    <t>Rental Income</t>
  </si>
  <si>
    <t>Expenses</t>
  </si>
  <si>
    <t>Cash Flow</t>
  </si>
  <si>
    <t>Estimated Sale Price (Year 10)</t>
  </si>
  <si>
    <t>Capital Gain</t>
  </si>
  <si>
    <t>CGT Discount Eligible (50%)</t>
  </si>
  <si>
    <t>Estimated CGT Payable</t>
  </si>
  <si>
    <t>2 Example Street MELBOURNE</t>
  </si>
  <si>
    <t>Per Week</t>
  </si>
  <si>
    <t>Strata/Body Corporate</t>
  </si>
  <si>
    <t>True Annual</t>
  </si>
  <si>
    <t>With 5% Vacancy</t>
  </si>
  <si>
    <t>Water Service</t>
  </si>
  <si>
    <t>Monthly P&amp;I Repayment</t>
  </si>
  <si>
    <t>Monthly I Repayment</t>
  </si>
  <si>
    <t>Total Savings of I only</t>
  </si>
  <si>
    <t>Annual Debt Service IO</t>
  </si>
  <si>
    <t>Landloard Insurance</t>
  </si>
  <si>
    <t>Interest Only</t>
  </si>
  <si>
    <t>P&amp;I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</si>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</sst>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44" fontId="1" fillId="0" borderId="0" xfId="1" applyFont="1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H29" sqref="H29"/>
    </sheetView>
  </sheetViews>
  <sheetFormatPr defaultRowHeight="14.5" x14ac:dyDescent="0.35"/>
  <cols>
    <col min="1" max="1" width="33.54296875" bestFit="1" customWidth="1"/>
    <col min="2" max="2" width="26.54296875" bestFit="1" customWidth="1"/>
  </cols>
  <sheetData>
    <row r="1" spans="1:2" x14ac:dyDescent="0.35">
      <c r="A1" s="1" t="s">
        <v>0</v>
      </c>
      <c r="B1" t="s">
        <v>67</v>
      </c>
    </row>
    <row r="2" spans="1:2" x14ac:dyDescent="0.35">
      <c r="A2" s="1" t="s">
        <v>1</v>
      </c>
      <c r="B2" s="4">
        <v>650000</v>
      </c>
    </row>
    <row r="3" spans="1:2" x14ac:dyDescent="0.35">
      <c r="A3" s="1" t="s">
        <v>2</v>
      </c>
      <c r="B3" s="2">
        <v>46095</v>
      </c>
    </row>
    <row r="4" spans="1:2" x14ac:dyDescent="0.35">
      <c r="A4" s="1" t="s">
        <v>3</v>
      </c>
      <c r="B4" s="4">
        <v>520000</v>
      </c>
    </row>
    <row r="5" spans="1:2" x14ac:dyDescent="0.35">
      <c r="A5" s="1" t="s">
        <v>4</v>
      </c>
      <c r="B5">
        <v>5.5</v>
      </c>
    </row>
    <row r="6" spans="1:2" x14ac:dyDescent="0.35">
      <c r="A6" s="1" t="s">
        <v>5</v>
      </c>
      <c r="B6">
        <v>30</v>
      </c>
    </row>
    <row r="7" spans="1:2" x14ac:dyDescent="0.35">
      <c r="A7" s="1" t="s">
        <v>6</v>
      </c>
      <c r="B7" s="4">
        <v>170000</v>
      </c>
    </row>
    <row r="8" spans="1:2" x14ac:dyDescent="0.35">
      <c r="A8" s="1" t="s">
        <v>7</v>
      </c>
      <c r="B8">
        <v>4</v>
      </c>
    </row>
    <row r="9" spans="1:2" x14ac:dyDescent="0.35">
      <c r="A9" s="1" t="s">
        <v>8</v>
      </c>
      <c r="B9">
        <v>0.1</v>
      </c>
    </row>
    <row r="10" spans="1:2" x14ac:dyDescent="0.35">
      <c r="A10" s="1" t="s">
        <v>9</v>
      </c>
      <c r="B10">
        <v>0.5</v>
      </c>
    </row>
    <row r="11" spans="1:2" x14ac:dyDescent="0.35">
      <c r="A11" s="1"/>
    </row>
    <row r="12" spans="1:2" x14ac:dyDescent="0.35">
      <c r="A12" s="1" t="s">
        <v>10</v>
      </c>
      <c r="B12" s="4">
        <f>'Cash Flow'!B3</f>
        <v>27095</v>
      </c>
    </row>
    <row r="13" spans="1:2" x14ac:dyDescent="0.35">
      <c r="A13" s="1" t="s">
        <v>11</v>
      </c>
      <c r="B13" s="4">
        <f>'Cash Flow'!B5</f>
        <v>-1453</v>
      </c>
    </row>
    <row r="14" spans="1:2" x14ac:dyDescent="0.35">
      <c r="A14" s="1" t="s">
        <v>12</v>
      </c>
      <c r="B14">
        <f>B12/B2</f>
        <v>4.1684615384615382E-2</v>
      </c>
    </row>
    <row r="15" spans="1:2" x14ac:dyDescent="0.35">
      <c r="A15" s="1" t="s">
        <v>13</v>
      </c>
      <c r="B15">
        <f>B13/B7</f>
        <v>-8.5470588235294111E-3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C2" sqref="C2"/>
    </sheetView>
  </sheetViews>
  <sheetFormatPr defaultRowHeight="14.5" x14ac:dyDescent="0.35"/>
  <cols>
    <col min="1" max="1" width="15.26953125" bestFit="1" customWidth="1"/>
    <col min="2" max="2" width="8.81640625" style="4" bestFit="1" customWidth="1"/>
    <col min="3" max="3" width="13.26953125" style="4" bestFit="1" customWidth="1"/>
    <col min="4" max="4" width="12.7265625" style="4" bestFit="1" customWidth="1"/>
    <col min="5" max="5" width="11.08984375" style="4" bestFit="1" customWidth="1"/>
  </cols>
  <sheetData>
    <row r="1" spans="1:5" x14ac:dyDescent="0.35">
      <c r="A1" s="1" t="s">
        <v>14</v>
      </c>
      <c r="B1" s="3" t="s">
        <v>68</v>
      </c>
      <c r="C1" s="3" t="s">
        <v>15</v>
      </c>
      <c r="D1" s="3" t="s">
        <v>16</v>
      </c>
      <c r="E1" s="3" t="s">
        <v>17</v>
      </c>
    </row>
    <row r="2" spans="1:5" x14ac:dyDescent="0.35">
      <c r="A2" t="s">
        <v>18</v>
      </c>
      <c r="B2" s="4">
        <v>850</v>
      </c>
      <c r="C2" s="4">
        <f>B2*(52/12)</f>
        <v>3683.333333333333</v>
      </c>
      <c r="D2" s="4">
        <v>0</v>
      </c>
      <c r="E2" s="4">
        <f t="shared" ref="E2:E13" si="0">C2+D2</f>
        <v>3683.333333333333</v>
      </c>
    </row>
    <row r="3" spans="1:5" x14ac:dyDescent="0.35">
      <c r="A3" t="s">
        <v>19</v>
      </c>
      <c r="B3" s="4">
        <v>850</v>
      </c>
      <c r="C3" s="4">
        <f t="shared" ref="C3:C13" si="1">B3*(52/12)</f>
        <v>3683.333333333333</v>
      </c>
      <c r="D3" s="4">
        <v>0</v>
      </c>
      <c r="E3" s="4">
        <f t="shared" si="0"/>
        <v>3683.333333333333</v>
      </c>
    </row>
    <row r="4" spans="1:5" x14ac:dyDescent="0.35">
      <c r="A4" t="s">
        <v>20</v>
      </c>
      <c r="B4" s="4">
        <v>850</v>
      </c>
      <c r="C4" s="4">
        <f t="shared" si="1"/>
        <v>3683.333333333333</v>
      </c>
      <c r="D4" s="4">
        <v>0</v>
      </c>
      <c r="E4" s="4">
        <f t="shared" si="0"/>
        <v>3683.333333333333</v>
      </c>
    </row>
    <row r="5" spans="1:5" x14ac:dyDescent="0.35">
      <c r="A5" t="s">
        <v>21</v>
      </c>
      <c r="B5" s="4">
        <v>850</v>
      </c>
      <c r="C5" s="4">
        <f t="shared" si="1"/>
        <v>3683.333333333333</v>
      </c>
      <c r="D5" s="4">
        <v>0</v>
      </c>
      <c r="E5" s="4">
        <f t="shared" si="0"/>
        <v>3683.333333333333</v>
      </c>
    </row>
    <row r="6" spans="1:5" x14ac:dyDescent="0.35">
      <c r="A6" t="s">
        <v>22</v>
      </c>
      <c r="B6" s="4">
        <v>850</v>
      </c>
      <c r="C6" s="4">
        <f t="shared" si="1"/>
        <v>3683.333333333333</v>
      </c>
      <c r="D6" s="4">
        <v>0</v>
      </c>
      <c r="E6" s="4">
        <f t="shared" si="0"/>
        <v>3683.333333333333</v>
      </c>
    </row>
    <row r="7" spans="1:5" x14ac:dyDescent="0.35">
      <c r="A7" t="s">
        <v>23</v>
      </c>
      <c r="B7" s="4">
        <v>850</v>
      </c>
      <c r="C7" s="4">
        <f t="shared" si="1"/>
        <v>3683.333333333333</v>
      </c>
      <c r="D7" s="4">
        <v>0</v>
      </c>
      <c r="E7" s="4">
        <f t="shared" si="0"/>
        <v>3683.333333333333</v>
      </c>
    </row>
    <row r="8" spans="1:5" x14ac:dyDescent="0.35">
      <c r="A8" t="s">
        <v>24</v>
      </c>
      <c r="B8" s="4">
        <v>850</v>
      </c>
      <c r="C8" s="4">
        <f t="shared" si="1"/>
        <v>3683.333333333333</v>
      </c>
      <c r="D8" s="4">
        <v>0</v>
      </c>
      <c r="E8" s="4">
        <f t="shared" si="0"/>
        <v>3683.333333333333</v>
      </c>
    </row>
    <row r="9" spans="1:5" x14ac:dyDescent="0.35">
      <c r="A9" t="s">
        <v>25</v>
      </c>
      <c r="B9" s="4">
        <v>850</v>
      </c>
      <c r="C9" s="4">
        <f t="shared" si="1"/>
        <v>3683.333333333333</v>
      </c>
      <c r="D9" s="4">
        <v>0</v>
      </c>
      <c r="E9" s="4">
        <f t="shared" si="0"/>
        <v>3683.333333333333</v>
      </c>
    </row>
    <row r="10" spans="1:5" x14ac:dyDescent="0.35">
      <c r="A10" t="s">
        <v>26</v>
      </c>
      <c r="B10" s="4">
        <v>850</v>
      </c>
      <c r="C10" s="4">
        <f t="shared" si="1"/>
        <v>3683.333333333333</v>
      </c>
      <c r="D10" s="4">
        <v>0</v>
      </c>
      <c r="E10" s="4">
        <f t="shared" si="0"/>
        <v>3683.333333333333</v>
      </c>
    </row>
    <row r="11" spans="1:5" x14ac:dyDescent="0.35">
      <c r="A11" t="s">
        <v>27</v>
      </c>
      <c r="B11" s="4">
        <v>850</v>
      </c>
      <c r="C11" s="4">
        <f t="shared" si="1"/>
        <v>3683.333333333333</v>
      </c>
      <c r="D11" s="4">
        <v>0</v>
      </c>
      <c r="E11" s="4">
        <f t="shared" si="0"/>
        <v>3683.333333333333</v>
      </c>
    </row>
    <row r="12" spans="1:5" x14ac:dyDescent="0.35">
      <c r="A12" t="s">
        <v>28</v>
      </c>
      <c r="B12" s="4">
        <v>850</v>
      </c>
      <c r="C12" s="4">
        <f t="shared" si="1"/>
        <v>3683.333333333333</v>
      </c>
      <c r="D12" s="4">
        <v>0</v>
      </c>
      <c r="E12" s="4">
        <f t="shared" si="0"/>
        <v>3683.333333333333</v>
      </c>
    </row>
    <row r="13" spans="1:5" x14ac:dyDescent="0.35">
      <c r="A13" t="s">
        <v>29</v>
      </c>
      <c r="B13" s="4">
        <v>850</v>
      </c>
      <c r="C13" s="4">
        <f t="shared" si="1"/>
        <v>3683.333333333333</v>
      </c>
      <c r="D13" s="4">
        <v>0</v>
      </c>
      <c r="E13" s="4">
        <f t="shared" si="0"/>
        <v>3683.333333333333</v>
      </c>
    </row>
    <row r="14" spans="1:5" x14ac:dyDescent="0.35">
      <c r="A14" t="s">
        <v>70</v>
      </c>
      <c r="E14" s="4">
        <f>SUM(E2:E13)</f>
        <v>44200</v>
      </c>
    </row>
    <row r="15" spans="1:5" x14ac:dyDescent="0.35">
      <c r="A15" t="s">
        <v>71</v>
      </c>
      <c r="E15" s="4">
        <f>E14*0.95</f>
        <v>41990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A5" sqref="A5:XFD5"/>
    </sheetView>
  </sheetViews>
  <sheetFormatPr defaultRowHeight="14.5" x14ac:dyDescent="0.35"/>
  <cols>
    <col min="1" max="1" width="20.1796875" bestFit="1" customWidth="1"/>
    <col min="2" max="2" width="8.81640625" style="4" bestFit="1" customWidth="1"/>
    <col min="3" max="3" width="11.08984375" style="4" bestFit="1" customWidth="1"/>
  </cols>
  <sheetData>
    <row r="1" spans="1:3" x14ac:dyDescent="0.35">
      <c r="A1" s="1" t="s">
        <v>30</v>
      </c>
      <c r="B1" s="3" t="s">
        <v>31</v>
      </c>
      <c r="C1" s="3" t="s">
        <v>32</v>
      </c>
    </row>
    <row r="2" spans="1:3" x14ac:dyDescent="0.35">
      <c r="A2" t="s">
        <v>33</v>
      </c>
      <c r="B2" s="4">
        <v>276.25</v>
      </c>
      <c r="C2" s="4">
        <f t="shared" ref="C2:C8" si="0">B2*12</f>
        <v>3315</v>
      </c>
    </row>
    <row r="3" spans="1:3" x14ac:dyDescent="0.35">
      <c r="A3" t="s">
        <v>69</v>
      </c>
      <c r="B3" s="4">
        <v>500</v>
      </c>
      <c r="C3" s="4">
        <f t="shared" si="0"/>
        <v>6000</v>
      </c>
    </row>
    <row r="4" spans="1:3" x14ac:dyDescent="0.35">
      <c r="A4" t="s">
        <v>77</v>
      </c>
      <c r="B4" s="4">
        <v>45</v>
      </c>
      <c r="C4" s="4">
        <f t="shared" si="0"/>
        <v>540</v>
      </c>
    </row>
    <row r="5" spans="1:3" x14ac:dyDescent="0.35">
      <c r="A5" t="s">
        <v>34</v>
      </c>
      <c r="B5" s="4">
        <v>165</v>
      </c>
      <c r="C5" s="4">
        <f t="shared" si="0"/>
        <v>1980</v>
      </c>
    </row>
    <row r="6" spans="1:3" x14ac:dyDescent="0.35">
      <c r="A6" t="s">
        <v>35</v>
      </c>
      <c r="B6" s="4">
        <v>150</v>
      </c>
      <c r="C6" s="4">
        <f t="shared" si="0"/>
        <v>1800</v>
      </c>
    </row>
    <row r="7" spans="1:3" x14ac:dyDescent="0.35">
      <c r="A7" t="s">
        <v>72</v>
      </c>
      <c r="B7" s="4">
        <v>80</v>
      </c>
      <c r="C7" s="4">
        <f t="shared" si="0"/>
        <v>960</v>
      </c>
    </row>
    <row r="8" spans="1:3" x14ac:dyDescent="0.35">
      <c r="A8" t="s">
        <v>36</v>
      </c>
      <c r="B8" s="4">
        <v>25</v>
      </c>
      <c r="C8" s="4">
        <f t="shared" si="0"/>
        <v>300</v>
      </c>
    </row>
    <row r="9" spans="1:3" x14ac:dyDescent="0.35">
      <c r="A9" t="s">
        <v>37</v>
      </c>
      <c r="C9" s="4">
        <f>SUM(C2:C8)</f>
        <v>14895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8" sqref="B8"/>
    </sheetView>
  </sheetViews>
  <sheetFormatPr defaultRowHeight="14.5" x14ac:dyDescent="0.35"/>
  <cols>
    <col min="1" max="1" width="22.1796875" bestFit="1" customWidth="1"/>
    <col min="2" max="2" width="12.08984375" bestFit="1" customWidth="1"/>
  </cols>
  <sheetData>
    <row r="1" spans="1:2" x14ac:dyDescent="0.35">
      <c r="A1" s="1" t="s">
        <v>3</v>
      </c>
      <c r="B1" s="4">
        <v>520000</v>
      </c>
    </row>
    <row r="2" spans="1:2" x14ac:dyDescent="0.35">
      <c r="A2" s="1" t="s">
        <v>4</v>
      </c>
      <c r="B2">
        <v>5.4899999999999997E-2</v>
      </c>
    </row>
    <row r="3" spans="1:2" x14ac:dyDescent="0.35">
      <c r="A3" s="1" t="s">
        <v>5</v>
      </c>
      <c r="B3">
        <v>30</v>
      </c>
    </row>
    <row r="4" spans="1:2" x14ac:dyDescent="0.35">
      <c r="A4" s="1" t="s">
        <v>73</v>
      </c>
      <c r="B4" s="4">
        <f>PMT(B2/12,B3*12,-B1)</f>
        <v>2949.2410780990358</v>
      </c>
    </row>
    <row r="5" spans="1:2" x14ac:dyDescent="0.35">
      <c r="A5" s="1" t="s">
        <v>38</v>
      </c>
      <c r="B5" s="4">
        <f>B4*12</f>
        <v>35390.89293718843</v>
      </c>
    </row>
    <row r="6" spans="1:2" x14ac:dyDescent="0.35">
      <c r="A6" s="1" t="s">
        <v>74</v>
      </c>
      <c r="B6" s="4">
        <f>(B1*B2)/12</f>
        <v>2379</v>
      </c>
    </row>
    <row r="7" spans="1:2" x14ac:dyDescent="0.35">
      <c r="A7" s="1" t="s">
        <v>38</v>
      </c>
      <c r="B7" s="4">
        <f>B6*12</f>
        <v>28548</v>
      </c>
    </row>
    <row r="8" spans="1:2" x14ac:dyDescent="0.35">
      <c r="A8" s="1" t="s">
        <v>75</v>
      </c>
      <c r="B8" s="5">
        <f>B5-B7</f>
        <v>6842.8929371884296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A5" sqref="A5:XFD5"/>
    </sheetView>
  </sheetViews>
  <sheetFormatPr defaultRowHeight="14.5" x14ac:dyDescent="0.35"/>
  <cols>
    <col min="1" max="1" width="25.1796875" bestFit="1" customWidth="1"/>
    <col min="2" max="2" width="11.08984375" style="4" bestFit="1" customWidth="1"/>
  </cols>
  <sheetData>
    <row r="1" spans="1:2" x14ac:dyDescent="0.35">
      <c r="A1" s="1" t="s">
        <v>39</v>
      </c>
      <c r="B1" s="4">
        <f>Income!E15</f>
        <v>41990</v>
      </c>
    </row>
    <row r="2" spans="1:2" x14ac:dyDescent="0.35">
      <c r="A2" s="1" t="s">
        <v>40</v>
      </c>
      <c r="B2" s="4">
        <f>'Operating Expenses'!C9</f>
        <v>14895</v>
      </c>
    </row>
    <row r="3" spans="1:2" x14ac:dyDescent="0.35">
      <c r="A3" s="1" t="s">
        <v>41</v>
      </c>
      <c r="B3" s="4">
        <f>B1-B2</f>
        <v>27095</v>
      </c>
    </row>
    <row r="4" spans="1:2" x14ac:dyDescent="0.35">
      <c r="A4" s="1" t="s">
        <v>76</v>
      </c>
      <c r="B4" s="4">
        <f>'Loan Details'!B7</f>
        <v>28548</v>
      </c>
    </row>
    <row r="5" spans="1:2" x14ac:dyDescent="0.35">
      <c r="A5" s="1" t="s">
        <v>11</v>
      </c>
      <c r="B5" s="4">
        <f>B3-B4</f>
        <v>-1453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B7" sqref="B7"/>
    </sheetView>
  </sheetViews>
  <sheetFormatPr defaultRowHeight="14.5" x14ac:dyDescent="0.35"/>
  <cols>
    <col min="1" max="1" width="23.54296875" bestFit="1" customWidth="1"/>
    <col min="2" max="2" width="11.08984375" style="4" bestFit="1" customWidth="1"/>
  </cols>
  <sheetData>
    <row r="1" spans="1:2" x14ac:dyDescent="0.35">
      <c r="A1" s="1" t="s">
        <v>42</v>
      </c>
      <c r="B1" s="4">
        <v>34100</v>
      </c>
    </row>
    <row r="2" spans="1:2" x14ac:dyDescent="0.35">
      <c r="A2" s="1" t="s">
        <v>43</v>
      </c>
      <c r="B2" s="4">
        <v>1500</v>
      </c>
    </row>
    <row r="3" spans="1:2" x14ac:dyDescent="0.35">
      <c r="A3" s="1" t="s">
        <v>44</v>
      </c>
      <c r="B3" s="4">
        <v>600</v>
      </c>
    </row>
    <row r="4" spans="1:2" x14ac:dyDescent="0.35">
      <c r="A4" s="1" t="s">
        <v>45</v>
      </c>
      <c r="B4" s="4">
        <v>500</v>
      </c>
    </row>
    <row r="5" spans="1:2" x14ac:dyDescent="0.35">
      <c r="A5" s="1" t="s">
        <v>46</v>
      </c>
      <c r="B5" s="4">
        <v>5000</v>
      </c>
    </row>
    <row r="6" spans="1:2" x14ac:dyDescent="0.35">
      <c r="A6" s="1" t="s">
        <v>47</v>
      </c>
      <c r="B6" s="4">
        <v>1000</v>
      </c>
    </row>
    <row r="7" spans="1:2" x14ac:dyDescent="0.35">
      <c r="A7" s="1" t="s">
        <v>48</v>
      </c>
      <c r="B7" s="4">
        <f>SUM(B1:B6)</f>
        <v>42700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activeCell="C1" sqref="C1:C7"/>
    </sheetView>
  </sheetViews>
  <sheetFormatPr defaultRowHeight="14.5" x14ac:dyDescent="0.35"/>
  <cols>
    <col min="2" max="2" width="19.54296875" style="4" bestFit="1" customWidth="1"/>
    <col min="3" max="3" width="19.453125" style="4" bestFit="1" customWidth="1"/>
    <col min="4" max="4" width="11.08984375" style="4" bestFit="1" customWidth="1"/>
  </cols>
  <sheetData>
    <row r="1" spans="1:4" x14ac:dyDescent="0.35">
      <c r="A1" s="1" t="s">
        <v>49</v>
      </c>
      <c r="B1" s="3" t="s">
        <v>50</v>
      </c>
      <c r="C1" s="3" t="s">
        <v>51</v>
      </c>
      <c r="D1" s="3" t="s">
        <v>52</v>
      </c>
    </row>
    <row r="2" spans="1:4" x14ac:dyDescent="0.35">
      <c r="A2">
        <v>1</v>
      </c>
      <c r="B2" s="4">
        <v>9000</v>
      </c>
      <c r="C2" s="4">
        <v>8500</v>
      </c>
      <c r="D2" s="4">
        <f t="shared" ref="D2:D6" si="0">B2+C2</f>
        <v>17500</v>
      </c>
    </row>
    <row r="3" spans="1:4" x14ac:dyDescent="0.35">
      <c r="A3">
        <v>2</v>
      </c>
      <c r="B3" s="4">
        <v>9000</v>
      </c>
      <c r="C3" s="4">
        <v>6200</v>
      </c>
      <c r="D3" s="4">
        <f t="shared" si="0"/>
        <v>15200</v>
      </c>
    </row>
    <row r="4" spans="1:4" x14ac:dyDescent="0.35">
      <c r="A4">
        <v>3</v>
      </c>
      <c r="B4" s="4">
        <v>9000</v>
      </c>
      <c r="C4" s="4">
        <v>4500</v>
      </c>
      <c r="D4" s="4">
        <f t="shared" si="0"/>
        <v>13500</v>
      </c>
    </row>
    <row r="5" spans="1:4" x14ac:dyDescent="0.35">
      <c r="A5">
        <v>4</v>
      </c>
      <c r="B5" s="4">
        <v>9000</v>
      </c>
      <c r="C5" s="4">
        <v>4500</v>
      </c>
      <c r="D5" s="4">
        <f t="shared" si="0"/>
        <v>13500</v>
      </c>
    </row>
    <row r="6" spans="1:4" x14ac:dyDescent="0.35">
      <c r="A6">
        <v>5</v>
      </c>
      <c r="B6" s="4">
        <v>9000</v>
      </c>
      <c r="C6" s="4">
        <v>2800</v>
      </c>
      <c r="D6" s="4">
        <f t="shared" si="0"/>
        <v>11800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selection activeCell="C6" sqref="C6"/>
    </sheetView>
  </sheetViews>
  <sheetFormatPr defaultRowHeight="14.5" x14ac:dyDescent="0.35"/>
  <cols>
    <col min="1" max="1" width="32.81640625" bestFit="1" customWidth="1"/>
    <col min="2" max="2" width="13.6328125" bestFit="1" customWidth="1"/>
  </cols>
  <sheetData>
    <row r="1" spans="1:2" x14ac:dyDescent="0.35">
      <c r="A1" s="1" t="s">
        <v>53</v>
      </c>
      <c r="B1" s="4">
        <f>'Cash Flow'!B3</f>
        <v>27095</v>
      </c>
    </row>
    <row r="2" spans="1:2" x14ac:dyDescent="0.35">
      <c r="A2" s="1" t="s">
        <v>54</v>
      </c>
      <c r="B2" s="4">
        <v>37000</v>
      </c>
    </row>
    <row r="3" spans="1:2" x14ac:dyDescent="0.35">
      <c r="A3" s="1" t="s">
        <v>55</v>
      </c>
      <c r="B3" s="4">
        <v>14000</v>
      </c>
    </row>
    <row r="4" spans="1:2" x14ac:dyDescent="0.35">
      <c r="A4" s="1" t="s">
        <v>56</v>
      </c>
      <c r="B4" s="4">
        <f>B1-B2-B3</f>
        <v>-23905</v>
      </c>
    </row>
    <row r="5" spans="1:2" x14ac:dyDescent="0.35">
      <c r="A5" s="1" t="s">
        <v>57</v>
      </c>
      <c r="B5">
        <v>0.3</v>
      </c>
    </row>
    <row r="6" spans="1:2" x14ac:dyDescent="0.35">
      <c r="A6" s="1" t="s">
        <v>58</v>
      </c>
      <c r="B6" s="4">
        <f>ABS(B4*(B5))</f>
        <v>7171.5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>
      <selection activeCell="G1" sqref="G1"/>
    </sheetView>
  </sheetViews>
  <sheetFormatPr defaultRowHeight="14.5" x14ac:dyDescent="0.35"/>
  <cols>
    <col min="2" max="2" width="13.81640625" style="4" bestFit="1" customWidth="1"/>
    <col min="3" max="3" width="13.26953125" style="4" bestFit="1" customWidth="1"/>
    <col min="4" max="5" width="11.08984375" style="4" bestFit="1" customWidth="1"/>
    <col min="6" max="6" width="12" bestFit="1" customWidth="1"/>
  </cols>
  <sheetData>
    <row r="1" spans="1:6" x14ac:dyDescent="0.35">
      <c r="A1" s="1" t="s">
        <v>49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80</v>
      </c>
    </row>
    <row r="2" spans="1:6" x14ac:dyDescent="0.35">
      <c r="A2">
        <v>1</v>
      </c>
      <c r="B2" s="4">
        <f>'Property Summary'!B2</f>
        <v>650000</v>
      </c>
      <c r="C2" s="4">
        <f>Income!E14</f>
        <v>44200</v>
      </c>
      <c r="D2" s="4">
        <f>'Operating Expenses'!C9</f>
        <v>14895</v>
      </c>
      <c r="E2" s="4">
        <f>C2-D2-'Loan Details'!B7</f>
        <v>757</v>
      </c>
      <c r="F2" t="s">
        <v>78</v>
      </c>
    </row>
    <row r="3" spans="1:6" x14ac:dyDescent="0.35">
      <c r="A3">
        <v>2</v>
      </c>
      <c r="B3" s="4">
        <f t="shared" ref="B3:B11" si="0">B2*1.05</f>
        <v>682500</v>
      </c>
      <c r="C3" s="4">
        <f t="shared" ref="C3:C11" si="1">C2*1.03</f>
        <v>45526</v>
      </c>
      <c r="D3" s="4">
        <f t="shared" ref="D3:D11" si="2">D2*1.03</f>
        <v>15341.85</v>
      </c>
      <c r="E3" s="4">
        <f>C3-D3-'Loan Details'!B7</f>
        <v>1636.1500000000015</v>
      </c>
      <c r="F3" t="s">
        <v>78</v>
      </c>
    </row>
    <row r="4" spans="1:6" x14ac:dyDescent="0.35">
      <c r="A4">
        <v>3</v>
      </c>
      <c r="B4" s="4">
        <f t="shared" si="0"/>
        <v>716625</v>
      </c>
      <c r="C4" s="4">
        <f t="shared" si="1"/>
        <v>46891.78</v>
      </c>
      <c r="D4" s="4">
        <f t="shared" si="2"/>
        <v>15802.105500000001</v>
      </c>
      <c r="E4" s="4">
        <f>C4-D4-'Loan Details'!B5</f>
        <v>-4301.2184371884323</v>
      </c>
      <c r="F4" t="s">
        <v>79</v>
      </c>
    </row>
    <row r="5" spans="1:6" x14ac:dyDescent="0.35">
      <c r="A5">
        <v>4</v>
      </c>
      <c r="B5" s="4">
        <f t="shared" si="0"/>
        <v>752456.25</v>
      </c>
      <c r="C5" s="4">
        <f t="shared" si="1"/>
        <v>48298.5334</v>
      </c>
      <c r="D5" s="4">
        <f t="shared" si="2"/>
        <v>16276.168665000001</v>
      </c>
      <c r="E5" s="4">
        <f>C5-D5-'Loan Details'!B5</f>
        <v>-3368.5282021884304</v>
      </c>
      <c r="F5" t="s">
        <v>79</v>
      </c>
    </row>
    <row r="6" spans="1:6" x14ac:dyDescent="0.35">
      <c r="A6">
        <v>5</v>
      </c>
      <c r="B6" s="4">
        <f t="shared" si="0"/>
        <v>790079.0625</v>
      </c>
      <c r="C6" s="4">
        <f t="shared" si="1"/>
        <v>49747.489401999999</v>
      </c>
      <c r="D6" s="4">
        <f t="shared" si="2"/>
        <v>16764.453724950003</v>
      </c>
      <c r="E6" s="4">
        <f>C6-D6-'Loan Details'!B5</f>
        <v>-2407.8572601384367</v>
      </c>
      <c r="F6" t="s">
        <v>79</v>
      </c>
    </row>
    <row r="7" spans="1:6" x14ac:dyDescent="0.35">
      <c r="A7">
        <v>6</v>
      </c>
      <c r="B7" s="4">
        <f t="shared" si="0"/>
        <v>829583.015625</v>
      </c>
      <c r="C7" s="4">
        <f t="shared" si="1"/>
        <v>51239.914084060001</v>
      </c>
      <c r="D7" s="4">
        <f t="shared" si="2"/>
        <v>17267.387336698503</v>
      </c>
      <c r="E7" s="4">
        <f>C7-D7-'Loan Details'!B5</f>
        <v>-1418.3661898269347</v>
      </c>
      <c r="F7" t="s">
        <v>79</v>
      </c>
    </row>
    <row r="8" spans="1:6" x14ac:dyDescent="0.35">
      <c r="A8">
        <v>7</v>
      </c>
      <c r="B8" s="4">
        <f t="shared" si="0"/>
        <v>871062.16640625009</v>
      </c>
      <c r="C8" s="4">
        <f t="shared" si="1"/>
        <v>52777.111506581801</v>
      </c>
      <c r="D8" s="4">
        <f t="shared" si="2"/>
        <v>17785.40895679946</v>
      </c>
      <c r="E8" s="4">
        <f>C8-D8-'Loan Details'!B5</f>
        <v>-399.19038740608812</v>
      </c>
      <c r="F8" t="s">
        <v>79</v>
      </c>
    </row>
    <row r="9" spans="1:6" x14ac:dyDescent="0.35">
      <c r="A9">
        <v>8</v>
      </c>
      <c r="B9" s="4">
        <f t="shared" si="0"/>
        <v>914615.27472656267</v>
      </c>
      <c r="C9" s="4">
        <f t="shared" si="1"/>
        <v>54360.424851779258</v>
      </c>
      <c r="D9" s="4">
        <f t="shared" si="2"/>
        <v>18318.971225503443</v>
      </c>
      <c r="E9" s="4">
        <f>C9-D9-'Loan Details'!B5</f>
        <v>650.56068908738962</v>
      </c>
      <c r="F9" t="s">
        <v>79</v>
      </c>
    </row>
    <row r="10" spans="1:6" x14ac:dyDescent="0.35">
      <c r="A10">
        <v>9</v>
      </c>
      <c r="B10" s="4">
        <f t="shared" si="0"/>
        <v>960346.03846289089</v>
      </c>
      <c r="C10" s="4">
        <f t="shared" si="1"/>
        <v>55991.237597332634</v>
      </c>
      <c r="D10" s="4">
        <f t="shared" si="2"/>
        <v>18868.540362268548</v>
      </c>
      <c r="E10" s="4">
        <f>C10-D10-'Loan Details'!B5</f>
        <v>1731.8042978756566</v>
      </c>
      <c r="F10" t="s">
        <v>79</v>
      </c>
    </row>
    <row r="11" spans="1:6" x14ac:dyDescent="0.35">
      <c r="A11">
        <v>10</v>
      </c>
      <c r="B11" s="4">
        <f t="shared" si="0"/>
        <v>1008363.3403860355</v>
      </c>
      <c r="C11" s="4">
        <f t="shared" si="1"/>
        <v>57670.974725252614</v>
      </c>
      <c r="D11" s="4">
        <f t="shared" si="2"/>
        <v>19434.596573136605</v>
      </c>
      <c r="E11" s="4">
        <f>C11-D11-'Loan Details'!B5</f>
        <v>2845.485214927583</v>
      </c>
      <c r="F11" t="s">
        <v>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>
      <selection activeCell="B6" sqref="B6"/>
    </sheetView>
  </sheetViews>
  <sheetFormatPr defaultRowHeight="14.5" x14ac:dyDescent="0.35"/>
  <cols>
    <col min="1" max="1" width="26.453125" bestFit="1" customWidth="1"/>
    <col min="2" max="2" width="13.6328125" style="4" bestFit="1" customWidth="1"/>
  </cols>
  <sheetData>
    <row r="1" spans="1:2" x14ac:dyDescent="0.35">
      <c r="A1" s="1" t="s">
        <v>63</v>
      </c>
      <c r="B1" s="4">
        <f>'10-Year Projection'!B11</f>
        <v>1008363.3403860355</v>
      </c>
    </row>
    <row r="2" spans="1:2" x14ac:dyDescent="0.35">
      <c r="A2" s="1" t="s">
        <v>1</v>
      </c>
      <c r="B2" s="4">
        <f>'Property Summary'!B2</f>
        <v>650000</v>
      </c>
    </row>
    <row r="3" spans="1:2" x14ac:dyDescent="0.35">
      <c r="A3" s="1" t="s">
        <v>64</v>
      </c>
      <c r="B3" s="4">
        <f>B1-B2</f>
        <v>358363.3403860355</v>
      </c>
    </row>
    <row r="4" spans="1:2" x14ac:dyDescent="0.35">
      <c r="A4" s="1" t="s">
        <v>65</v>
      </c>
      <c r="B4" s="4">
        <f>B3*0.5</f>
        <v>179181.67019301775</v>
      </c>
    </row>
    <row r="5" spans="1:2" x14ac:dyDescent="0.35">
      <c r="A5" s="1" t="s">
        <v>57</v>
      </c>
      <c r="B5" s="4">
        <v>0.35</v>
      </c>
    </row>
    <row r="6" spans="1:2" x14ac:dyDescent="0.35">
      <c r="A6" s="1" t="s">
        <v>66</v>
      </c>
      <c r="B6" s="4">
        <f>B4*(B5)</f>
        <v>62713.584567556209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Property Summary</vt:lpstr>
      <vt:lpstr>Income</vt:lpstr>
      <vt:lpstr>Operating Expenses</vt:lpstr>
      <vt:lpstr>Loan Details</vt:lpstr>
      <vt:lpstr>Cash Flow</vt:lpstr>
      <vt:lpstr>Acquisition Costs</vt:lpstr>
      <vt:lpstr>Depreciation</vt:lpstr>
      <vt:lpstr>Tax &amp; Negative Gearing</vt:lpstr>
      <vt:lpstr>10-Year Projection</vt:lpstr>
      <vt:lpstr>CGT 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W. Cole</cp:lastModifiedBy>
  <dcterms:created xsi:type="dcterms:W3CDTF">2026-02-14T00:00:25Z</dcterms:created>
  <dcterms:modified xsi:type="dcterms:W3CDTF">2026-02-15T10:49:17Z</dcterms:modified>
</cp:coreProperties>
</file>